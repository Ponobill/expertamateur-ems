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 - 120V Portable Demo" sheetId="1" state="visible" r:id="rId1"/>
    <sheet xmlns:r="http://schemas.openxmlformats.org/officeDocument/2006/relationships" name="V2 - 240V Permanent Install" sheetId="2" state="visible" r:id="rId2"/>
    <sheet xmlns:r="http://schemas.openxmlformats.org/officeDocument/2006/relationships" name="Notes &amp; Deci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404040"/>
      <sz val="9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sz val="10"/>
    </font>
    <font>
      <name val="Arial"/>
      <b val="1"/>
      <sz val="10"/>
    </font>
    <font>
      <name val="Arial"/>
      <b val="1"/>
      <color rgb="001F4E79"/>
      <sz val="10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E2EFDA"/>
        <bgColor rgb="00E2EFDA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164" fontId="6" fillId="4" borderId="1" applyAlignment="1" pivotButton="0" quotePrefix="0" xfId="0">
      <alignment horizontal="right" vertical="center"/>
    </xf>
    <xf numFmtId="0" fontId="7" fillId="0" borderId="0" pivotButton="0" quotePrefix="0" xfId="0"/>
    <xf numFmtId="164" fontId="8" fillId="5" borderId="1" applyAlignment="1" pivotButton="0" quotePrefix="0" xfId="0">
      <alignment horizontal="right" vertical="center"/>
    </xf>
    <xf numFmtId="0" fontId="9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10" fillId="3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6" customWidth="1" min="3" max="3"/>
    <col width="14" customWidth="1" min="4" max="4"/>
    <col width="14" customWidth="1" min="5" max="5"/>
    <col width="22" customWidth="1" min="6" max="6"/>
    <col width="38" customWidth="1" min="7" max="7"/>
  </cols>
  <sheetData>
    <row r="1" ht="30" customHeight="1">
      <c r="A1" s="1" t="inlineStr">
        <is>
          <t>Hood River Garage Solar — Version 1: 120V Portable Demo</t>
        </is>
      </c>
    </row>
    <row r="2" ht="28" customHeight="1">
      <c r="A2" s="2" t="inlineStr">
        <is>
          <t>Two 450W panels (one orientation) + HMS-800-2T-NA + Delta Pro as grid reference and battery. Portable, no electrical work, ExpertAmateur demo concept.</t>
        </is>
      </c>
    </row>
    <row r="3" ht="25" customHeight="1">
      <c r="A3" s="3" t="inlineStr">
        <is>
          <t>Item</t>
        </is>
      </c>
      <c r="B3" s="3" t="inlineStr">
        <is>
          <t>Description</t>
        </is>
      </c>
      <c r="C3" s="3" t="inlineStr">
        <is>
          <t>Qty</t>
        </is>
      </c>
      <c r="D3" s="3" t="inlineStr">
        <is>
          <t>Unit Cost (est.)</t>
        </is>
      </c>
      <c r="E3" s="3" t="inlineStr">
        <is>
          <t>Total (est.)</t>
        </is>
      </c>
      <c r="F3" s="3" t="inlineStr">
        <is>
          <t>Source</t>
        </is>
      </c>
      <c r="G3" s="3" t="inlineStr">
        <is>
          <t>Notes</t>
        </is>
      </c>
    </row>
    <row r="4">
      <c r="A4" s="4" t="inlineStr">
        <is>
          <t>SOLAR PANELS</t>
        </is>
      </c>
    </row>
    <row r="5">
      <c r="A5" s="5" t="inlineStr">
        <is>
          <t>450W TOPCon Bifacial Panel</t>
        </is>
      </c>
      <c r="B5" s="6" t="inlineStr">
        <is>
          <t>N-type TOPCon, ~21% efficiency, compatible with HMS-800</t>
        </is>
      </c>
      <c r="C5" s="7" t="n">
        <v>2</v>
      </c>
      <c r="D5" s="8" t="n">
        <v>175</v>
      </c>
      <c r="E5" s="8">
        <f>C5*D5</f>
        <v/>
      </c>
      <c r="F5" s="6" t="inlineStr">
        <is>
          <t>US Solar Supplier / SanTan Solar</t>
        </is>
      </c>
      <c r="G5" s="6" t="inlineStr">
        <is>
          <t>2 panels same orientation (east OR west to start)</t>
        </is>
      </c>
    </row>
    <row r="6">
      <c r="A6" s="4" t="inlineStr">
        <is>
          <t>MICROINVERTER</t>
        </is>
      </c>
    </row>
    <row r="7">
      <c r="A7" s="5" t="inlineStr">
        <is>
          <t>Hoymiles HMS-800-2T-NA</t>
        </is>
      </c>
      <c r="B7" s="6" t="inlineStr">
        <is>
          <t>2-panel, 120V single phase, 800VA, independent MPPT per panel, plug-in capable</t>
        </is>
      </c>
      <c r="C7" s="7" t="n">
        <v>1</v>
      </c>
      <c r="D7" s="8" t="n">
        <v>220</v>
      </c>
      <c r="E7" s="8">
        <f>C8*D8</f>
        <v/>
      </c>
      <c r="F7" s="6" t="inlineStr">
        <is>
          <t>self2solar.com / solux.energy</t>
        </is>
      </c>
      <c r="G7" s="6" t="inlineStr">
        <is>
          <t>120V output — matches Delta Pro AC outlet</t>
        </is>
      </c>
    </row>
    <row r="8">
      <c r="A8" s="5" t="inlineStr">
        <is>
          <t>Hoymiles DTU-Pro-S Gateway</t>
        </is>
      </c>
      <c r="B8" s="6" t="inlineStr">
        <is>
          <t>Sub-1G wireless monitoring, required for S-Miles Cloud + HA integration</t>
        </is>
      </c>
      <c r="C8" s="7" t="n">
        <v>1</v>
      </c>
      <c r="D8" s="8" t="n">
        <v>65</v>
      </c>
      <c r="E8" s="8">
        <f>C9*D9</f>
        <v/>
      </c>
      <c r="F8" s="6" t="inlineStr">
        <is>
          <t>self2solar.com</t>
        </is>
      </c>
      <c r="G8" s="6" t="inlineStr">
        <is>
          <t>Needed for Home Assistant monitoring via MQTT</t>
        </is>
      </c>
    </row>
    <row r="9">
      <c r="A9" s="4" t="inlineStr">
        <is>
          <t>BATTERY / GRID REFERENCE</t>
        </is>
      </c>
    </row>
    <row r="10">
      <c r="A10" s="5" t="inlineStr">
        <is>
          <t>EcoFlow Delta Pro</t>
        </is>
      </c>
      <c r="B10" s="6" t="inlineStr">
        <is>
          <t>3.6kWh LFP, 3600W AC output, 120V — acts as synthetic grid reference in outage mode</t>
        </is>
      </c>
      <c r="C10" s="7" t="n">
        <v>1</v>
      </c>
      <c r="D10" s="8" t="n">
        <v>2999</v>
      </c>
      <c r="E10" s="8">
        <f>C11*D11</f>
        <v/>
      </c>
      <c r="F10" s="6" t="inlineStr">
        <is>
          <t>EcoFlow / Amazon</t>
        </is>
      </c>
      <c r="G10" s="6" t="inlineStr">
        <is>
          <t>You likely already have this — $0 if so</t>
        </is>
      </c>
    </row>
    <row r="11">
      <c r="A11" s="4" t="inlineStr">
        <is>
          <t>PORTABLE OUTLET BOX</t>
        </is>
      </c>
    </row>
    <row r="12">
      <c r="A12" s="5" t="inlineStr">
        <is>
          <t>4-outlet metal box + wiring</t>
        </is>
      </c>
      <c r="B12" s="6" t="inlineStr">
        <is>
          <t>4x NEMA 5-15 outlets, 14AWG wire, junction box — DIY build</t>
        </is>
      </c>
      <c r="C12" s="7" t="n">
        <v>1</v>
      </c>
      <c r="D12" s="8" t="n">
        <v>35</v>
      </c>
      <c r="E12" s="8">
        <f>C13*D13</f>
        <v/>
      </c>
      <c r="F12" s="6" t="inlineStr">
        <is>
          <t>Home Depot</t>
        </is>
      </c>
      <c r="G12" s="6" t="inlineStr">
        <is>
          <t>The 'circular loop' box — pigtail plugs into Delta Pro output</t>
        </is>
      </c>
    </row>
    <row r="13">
      <c r="A13" s="5" t="inlineStr">
        <is>
          <t>Short pigtail cord (6ft)</t>
        </is>
      </c>
      <c r="B13" s="6" t="inlineStr">
        <is>
          <t>NEMA 5-15 male to wire leads, 14AWG</t>
        </is>
      </c>
      <c r="C13" s="7" t="n">
        <v>1</v>
      </c>
      <c r="D13" s="8" t="n">
        <v>12</v>
      </c>
      <c r="E13" s="8">
        <f>C14*D14</f>
        <v/>
      </c>
      <c r="F13" s="6" t="inlineStr">
        <is>
          <t>Amazon</t>
        </is>
      </c>
      <c r="G13" s="6" t="inlineStr">
        <is>
          <t>Connects box to Delta Pro AC output</t>
        </is>
      </c>
    </row>
    <row r="14">
      <c r="A14" s="5" t="inlineStr">
        <is>
          <t>Extension cord (25ft)</t>
        </is>
      </c>
      <c r="B14" s="6" t="inlineStr">
        <is>
          <t>Heavy duty 12AWG, for loads during outage</t>
        </is>
      </c>
      <c r="C14" s="7" t="n">
        <v>1</v>
      </c>
      <c r="D14" s="8" t="n">
        <v>25</v>
      </c>
      <c r="E14" s="8">
        <f>C15*D15</f>
        <v/>
      </c>
      <c r="F14" s="6" t="inlineStr">
        <is>
          <t>Home Depot</t>
        </is>
      </c>
      <c r="G14" s="6" t="inlineStr">
        <is>
          <t>Spare outlets on box feed this</t>
        </is>
      </c>
    </row>
    <row r="15">
      <c r="A15" s="4" t="inlineStr">
        <is>
          <t>MOUNTING — ROOF</t>
        </is>
      </c>
    </row>
    <row r="16">
      <c r="A16" s="5" t="inlineStr">
        <is>
          <t>Adjustable tilt roof mount (2-panel)</t>
        </is>
      </c>
      <c r="B16" s="6" t="inlineStr">
        <is>
          <t>L-foot + rail system, fits pitched roof, no penetration required for demo</t>
        </is>
      </c>
      <c r="C16" s="7" t="n">
        <v>1</v>
      </c>
      <c r="D16" s="8" t="n">
        <v>120</v>
      </c>
      <c r="E16" s="8">
        <f>C17*D17</f>
        <v/>
      </c>
      <c r="F16" s="6" t="inlineStr">
        <is>
          <t>IronRidge / Amazon</t>
        </is>
      </c>
      <c r="G16" s="6" t="inlineStr">
        <is>
          <t>Can use clamp-on system to avoid roof penetrations for demo</t>
        </is>
      </c>
    </row>
    <row r="17">
      <c r="A17" s="5" t="inlineStr">
        <is>
          <t>MC4 DC cables (pair, 10ft)</t>
        </is>
      </c>
      <c r="B17" s="6" t="inlineStr">
        <is>
          <t>Panel to microinverter DC connection</t>
        </is>
      </c>
      <c r="C17" s="7" t="n">
        <v>2</v>
      </c>
      <c r="D17" s="8" t="n">
        <v>15</v>
      </c>
      <c r="E17" s="8">
        <f>C18*D18</f>
        <v/>
      </c>
      <c r="F17" s="6" t="inlineStr">
        <is>
          <t>Amazon</t>
        </is>
      </c>
      <c r="G17" s="6" t="inlineStr"/>
    </row>
    <row r="18">
      <c r="A18" s="4" t="inlineStr">
        <is>
          <t>MONITORING</t>
        </is>
      </c>
    </row>
    <row r="19">
      <c r="A19" s="5" t="inlineStr">
        <is>
          <t>Hoymiles S-Miles Cloud (free)</t>
        </is>
      </c>
      <c r="B19" s="6" t="inlineStr">
        <is>
          <t>Cloud monitoring via DTU-Pro-S</t>
        </is>
      </c>
      <c r="C19" s="7" t="n">
        <v>1</v>
      </c>
      <c r="D19" s="8" t="n">
        <v>0</v>
      </c>
      <c r="E19" s="8">
        <f>C20*D20</f>
        <v/>
      </c>
      <c r="F19" s="6" t="inlineStr">
        <is>
          <t>Hoymiles app</t>
        </is>
      </c>
      <c r="G19" s="6" t="inlineStr">
        <is>
          <t>Free — HA integration via MQTT bridge</t>
        </is>
      </c>
    </row>
    <row r="20">
      <c r="A20" s="9" t="inlineStr">
        <is>
          <t>TOTAL (excluding Delta Pro if already owned)</t>
        </is>
      </c>
      <c r="E20" s="10">
        <f>SUM(E5,E8,E9,E13,E14,E15,E17,E18)</f>
        <v/>
      </c>
    </row>
  </sheetData>
  <mergeCells count="8">
    <mergeCell ref="A1:G1"/>
    <mergeCell ref="A9:G9"/>
    <mergeCell ref="A18:G18"/>
    <mergeCell ref="A6:G6"/>
    <mergeCell ref="A4:G4"/>
    <mergeCell ref="A2:G2"/>
    <mergeCell ref="A15:G15"/>
    <mergeCell ref="A11:G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48" customWidth="1" min="2" max="2"/>
    <col width="6" customWidth="1" min="3" max="3"/>
    <col width="14" customWidth="1" min="4" max="4"/>
    <col width="14" customWidth="1" min="5" max="5"/>
    <col width="26" customWidth="1" min="6" max="6"/>
    <col width="42" customWidth="1" min="7" max="7"/>
  </cols>
  <sheetData>
    <row r="1" ht="30" customHeight="1">
      <c r="A1" s="1" t="inlineStr">
        <is>
          <t>Hood River Garage Solar — Version 2: 240V Permanent Install</t>
        </is>
      </c>
    </row>
    <row r="2" ht="28" customHeight="1">
      <c r="A2" s="2" t="inlineStr">
        <is>
          <t>Four 450W panels split east/west (2+2) + HMS-2000-4T-NA 240V + existing 240V outlet. Hardwired, proper install, Pacific Power interconnection optional. ~1800W peak production.</t>
        </is>
      </c>
    </row>
    <row r="3" ht="25" customHeight="1">
      <c r="A3" s="3" t="inlineStr">
        <is>
          <t>Item</t>
        </is>
      </c>
      <c r="B3" s="3" t="inlineStr">
        <is>
          <t>Description</t>
        </is>
      </c>
      <c r="C3" s="3" t="inlineStr">
        <is>
          <t>Qty</t>
        </is>
      </c>
      <c r="D3" s="3" t="inlineStr">
        <is>
          <t>Unit Cost (est.)</t>
        </is>
      </c>
      <c r="E3" s="3" t="inlineStr">
        <is>
          <t>Total (est.)</t>
        </is>
      </c>
      <c r="F3" s="3" t="inlineStr">
        <is>
          <t>Source</t>
        </is>
      </c>
      <c r="G3" s="3" t="inlineStr">
        <is>
          <t>Notes</t>
        </is>
      </c>
    </row>
    <row r="4">
      <c r="A4" s="4" t="inlineStr">
        <is>
          <t>SOLAR PANELS</t>
        </is>
      </c>
    </row>
    <row r="5">
      <c r="A5" s="5" t="inlineStr">
        <is>
          <t>450W TOPCon Bifacial Panel</t>
        </is>
      </c>
      <c r="B5" s="6" t="inlineStr">
        <is>
          <t>N-type TOPCon, ~21% efficiency, 2 facing east + 2 facing west</t>
        </is>
      </c>
      <c r="C5" s="7" t="n">
        <v>4</v>
      </c>
      <c r="D5" s="8" t="n">
        <v>175</v>
      </c>
      <c r="E5" s="8">
        <f>C5*D5</f>
        <v/>
      </c>
      <c r="F5" s="6" t="inlineStr">
        <is>
          <t>US Solar Supplier / SanTan Solar</t>
        </is>
      </c>
      <c r="G5" s="6" t="inlineStr">
        <is>
          <t>East/west split — flatter production curve, longer generation window</t>
        </is>
      </c>
    </row>
    <row r="6">
      <c r="A6" s="4" t="inlineStr">
        <is>
          <t>MICROINVERTER</t>
        </is>
      </c>
    </row>
    <row r="7">
      <c r="A7" s="5" t="inlineStr">
        <is>
          <t>Hoymiles HMS-2000-4T-NA (240V)</t>
        </is>
      </c>
      <c r="B7" s="6" t="inlineStr">
        <is>
          <t>4-panel, 240V split-phase, 2000VA, independent MPPT per panel, UL1741-SB</t>
        </is>
      </c>
      <c r="C7" s="7" t="n">
        <v>1</v>
      </c>
      <c r="D7" s="8" t="n">
        <v>320</v>
      </c>
      <c r="E7" s="8">
        <f>C8*D8</f>
        <v/>
      </c>
      <c r="F7" s="6" t="inlineStr">
        <is>
          <t>themicroinverterstore.com / self2solar.com</t>
        </is>
      </c>
      <c r="G7" s="6" t="inlineStr">
        <is>
          <t>Single unit handles all 4 panels — two east MPPTs, two west MPPTs</t>
        </is>
      </c>
    </row>
    <row r="8">
      <c r="A8" s="5" t="inlineStr">
        <is>
          <t>Hoymiles DTU-Pro-S Gateway</t>
        </is>
      </c>
      <c r="B8" s="6" t="inlineStr">
        <is>
          <t>Sub-1G wireless monitoring, S-Miles Cloud + HA integration</t>
        </is>
      </c>
      <c r="C8" s="7" t="n">
        <v>1</v>
      </c>
      <c r="D8" s="8" t="n">
        <v>65</v>
      </c>
      <c r="E8" s="8">
        <f>C9*D9</f>
        <v/>
      </c>
      <c r="F8" s="6" t="inlineStr">
        <is>
          <t>self2solar.com</t>
        </is>
      </c>
      <c r="G8" s="6" t="inlineStr">
        <is>
          <t>Required for monitoring — integrates with HA via MQTT</t>
        </is>
      </c>
    </row>
    <row r="9">
      <c r="A9" s="4" t="inlineStr">
        <is>
          <t>AC CONNECTION</t>
        </is>
      </c>
    </row>
    <row r="10">
      <c r="A10" s="5" t="inlineStr">
        <is>
          <t>NEMA 14-30 outlet adapter / whip</t>
        </is>
      </c>
      <c r="B10" s="6" t="inlineStr">
        <is>
          <t>Microinverter AC output to existing 240V outlet — check HMS-2000 AC connector type</t>
        </is>
      </c>
      <c r="C10" s="7" t="n">
        <v>1</v>
      </c>
      <c r="D10" s="8" t="n">
        <v>45</v>
      </c>
      <c r="E10" s="8">
        <f>C11*D11</f>
        <v/>
      </c>
      <c r="F10" s="6" t="inlineStr">
        <is>
          <t>Amazon / electrician</t>
        </is>
      </c>
      <c r="G10" s="6" t="inlineStr">
        <is>
          <t>Existing 240V outlet in garage — confirm outlet type before ordering</t>
        </is>
      </c>
    </row>
    <row r="11">
      <c r="A11" s="5" t="inlineStr">
        <is>
          <t>AC trunk cable + end caps</t>
        </is>
      </c>
      <c r="B11" s="6" t="inlineStr">
        <is>
          <t>Hoymiles trunk system for microinverter AC output</t>
        </is>
      </c>
      <c r="C11" s="7" t="n">
        <v>1</v>
      </c>
      <c r="D11" s="8" t="n">
        <v>35</v>
      </c>
      <c r="E11" s="8">
        <f>C12*D12</f>
        <v/>
      </c>
      <c r="F11" s="6" t="inlineStr">
        <is>
          <t>self2solar.com</t>
        </is>
      </c>
      <c r="G11" s="6" t="inlineStr">
        <is>
          <t>Specific to Hoymiles HMS trunk system</t>
        </is>
      </c>
    </row>
    <row r="12">
      <c r="A12" s="4" t="inlineStr">
        <is>
          <t>MOUNTING — ROOF</t>
        </is>
      </c>
    </row>
    <row r="13">
      <c r="A13" s="5" t="inlineStr">
        <is>
          <t>IronRidge XR100 rail (10ft)</t>
        </is>
      </c>
      <c r="B13" s="6" t="inlineStr">
        <is>
          <t>Aluminum mounting rail for roof install, 2 rails needed (one per panel row)</t>
        </is>
      </c>
      <c r="C13" s="7" t="n">
        <v>2</v>
      </c>
      <c r="D13" s="8" t="n">
        <v>55</v>
      </c>
      <c r="E13" s="8">
        <f>C14*D14</f>
        <v/>
      </c>
      <c r="F13" s="6" t="inlineStr">
        <is>
          <t>IronRidge / local solar supplier</t>
        </is>
      </c>
      <c r="G13" s="6" t="inlineStr"/>
    </row>
    <row r="14">
      <c r="A14" s="5" t="inlineStr">
        <is>
          <t>L-foot standoffs (set of 8)</t>
        </is>
      </c>
      <c r="B14" s="6" t="inlineStr">
        <is>
          <t>Roof attachment points, lag-screwed into rafters</t>
        </is>
      </c>
      <c r="C14" s="7" t="n">
        <v>1</v>
      </c>
      <c r="D14" s="8" t="n">
        <v>65</v>
      </c>
      <c r="E14" s="8">
        <f>C15*D15</f>
        <v/>
      </c>
      <c r="F14" s="6" t="inlineStr">
        <is>
          <t>IronRidge / Amazon</t>
        </is>
      </c>
      <c r="G14" s="6" t="inlineStr">
        <is>
          <t>Into rafters — locate before ordering</t>
        </is>
      </c>
    </row>
    <row r="15">
      <c r="A15" s="5" t="inlineStr">
        <is>
          <t>Mid/end clamps for 4 panels</t>
        </is>
      </c>
      <c r="B15" s="6" t="inlineStr">
        <is>
          <t>Panel clamps for rail-mounted system</t>
        </is>
      </c>
      <c r="C15" s="7" t="n">
        <v>1</v>
      </c>
      <c r="D15" s="8" t="n">
        <v>40</v>
      </c>
      <c r="E15" s="8">
        <f>C16*D16</f>
        <v/>
      </c>
      <c r="F15" s="6" t="inlineStr">
        <is>
          <t>IronRidge / Amazon</t>
        </is>
      </c>
      <c r="G15" s="6" t="inlineStr"/>
    </row>
    <row r="16">
      <c r="A16" s="5" t="inlineStr">
        <is>
          <t>MC4 DC cables (pair, 10ft)</t>
        </is>
      </c>
      <c r="B16" s="6" t="inlineStr">
        <is>
          <t>Panel to microinverter DC connection</t>
        </is>
      </c>
      <c r="C16" s="7" t="n">
        <v>4</v>
      </c>
      <c r="D16" s="8" t="n">
        <v>15</v>
      </c>
      <c r="E16" s="8">
        <f>C17*D17</f>
        <v/>
      </c>
      <c r="F16" s="6" t="inlineStr">
        <is>
          <t>Amazon</t>
        </is>
      </c>
      <c r="G16" s="6" t="inlineStr">
        <is>
          <t>One pair per panel</t>
        </is>
      </c>
    </row>
    <row r="17">
      <c r="A17" s="5" t="inlineStr">
        <is>
          <t>Conduit + fittings</t>
        </is>
      </c>
      <c r="B17" s="6" t="inlineStr">
        <is>
          <t>For AC wiring run from microinverter to outlet, weatherproof</t>
        </is>
      </c>
      <c r="C17" s="7" t="n">
        <v>1</v>
      </c>
      <c r="D17" s="8" t="n">
        <v>45</v>
      </c>
      <c r="E17" s="8">
        <f>C18*D18</f>
        <v/>
      </c>
      <c r="F17" s="6" t="inlineStr">
        <is>
          <t>Home Depot</t>
        </is>
      </c>
      <c r="G17" s="6" t="inlineStr">
        <is>
          <t>Length depends on run distance</t>
        </is>
      </c>
    </row>
    <row r="18">
      <c r="A18" s="4" t="inlineStr">
        <is>
          <t>STORAGE — OPTIONAL</t>
        </is>
      </c>
    </row>
    <row r="19">
      <c r="A19" s="5" t="inlineStr">
        <is>
          <t>EcoFlow Delta Pro</t>
        </is>
      </c>
      <c r="B19" s="6" t="inlineStr">
        <is>
          <t>3.6kWh LFP, 3600W AC output — plugged into same 240V circuit as microinverter output for outage backup</t>
        </is>
      </c>
      <c r="C19" s="7" t="n">
        <v>1</v>
      </c>
      <c r="D19" s="8" t="n">
        <v>2999</v>
      </c>
      <c r="E19" s="8">
        <f>C20*D20</f>
        <v/>
      </c>
      <c r="F19" s="6" t="inlineStr">
        <is>
          <t>EcoFlow / Amazon</t>
        </is>
      </c>
      <c r="G19" s="6" t="inlineStr">
        <is>
          <t>OPTIONAL — adds outage capability. Circuit must handle both loads.</t>
        </is>
      </c>
    </row>
    <row r="20">
      <c r="A20" s="4" t="inlineStr">
        <is>
          <t>MONITORING &amp; HA INTEGRATION</t>
        </is>
      </c>
    </row>
    <row r="21">
      <c r="A21" s="5" t="inlineStr">
        <is>
          <t>Hoymiles S-Miles Cloud (free)</t>
        </is>
      </c>
      <c r="B21" s="6" t="inlineStr">
        <is>
          <t>Via DTU-Pro-S, free cloud monitoring</t>
        </is>
      </c>
      <c r="C21" s="7" t="n">
        <v>1</v>
      </c>
      <c r="D21" s="8" t="n">
        <v>0</v>
      </c>
      <c r="E21" s="8">
        <f>C22*D22</f>
        <v/>
      </c>
      <c r="F21" s="6" t="inlineStr">
        <is>
          <t>Hoymiles app</t>
        </is>
      </c>
      <c r="G21" s="6" t="inlineStr"/>
    </row>
    <row r="22">
      <c r="A22" s="5" t="inlineStr">
        <is>
          <t>HA MQTT integration</t>
        </is>
      </c>
      <c r="B22" s="6" t="inlineStr">
        <is>
          <t>Hoymiles ↔ HA via MQTT bridge — same pattern as Solar Assistant</t>
        </is>
      </c>
      <c r="C22" s="7" t="n">
        <v>1</v>
      </c>
      <c r="D22" s="8" t="n">
        <v>0</v>
      </c>
      <c r="E22" s="8">
        <f>C23*D23</f>
        <v/>
      </c>
      <c r="F22" s="6" t="inlineStr">
        <is>
          <t>Home Assistant</t>
        </is>
      </c>
      <c r="G22" s="6" t="inlineStr">
        <is>
          <t>Free — config work only</t>
        </is>
      </c>
    </row>
    <row r="23">
      <c r="A23" s="4" t="inlineStr">
        <is>
          <t>PERMITS &amp; INTERCONNECTION</t>
        </is>
      </c>
    </row>
    <row r="24">
      <c r="A24" s="5" t="inlineStr">
        <is>
          <t>Pacific Power interconnection application</t>
        </is>
      </c>
      <c r="B24" s="6" t="inlineStr">
        <is>
          <t>Optional — required if grid-tied and net metering desired</t>
        </is>
      </c>
      <c r="C24" s="7" t="n">
        <v>1</v>
      </c>
      <c r="D24" s="8" t="n">
        <v>0</v>
      </c>
      <c r="E24" s="8">
        <f>C25*D25</f>
        <v/>
      </c>
      <c r="F24" s="6" t="inlineStr">
        <is>
          <t>pacificpower.net</t>
        </is>
      </c>
      <c r="G24" s="6" t="inlineStr">
        <is>
          <t>Free application, no fee for residential &lt;25kW. Deadline Feb 1 2027 to lock in current net metering terms.</t>
        </is>
      </c>
    </row>
    <row r="25">
      <c r="A25" s="5" t="inlineStr">
        <is>
          <t>Hood River County electrical permit</t>
        </is>
      </c>
      <c r="B25" s="6" t="inlineStr">
        <is>
          <t>May be required for permanent roof install — check with county</t>
        </is>
      </c>
      <c r="C25" s="7" t="n">
        <v>1</v>
      </c>
      <c r="D25" s="8" t="n">
        <v>150</v>
      </c>
      <c r="E25" s="8">
        <f>C26*D26</f>
        <v/>
      </c>
      <c r="F25" s="6" t="inlineStr">
        <is>
          <t>Hood River County</t>
        </is>
      </c>
      <c r="G25" s="6" t="inlineStr">
        <is>
          <t>Estimate only — verify with county building dept</t>
        </is>
      </c>
    </row>
    <row r="26">
      <c r="A26" s="9" t="inlineStr">
        <is>
          <t>TOTAL (without Delta Pro)</t>
        </is>
      </c>
      <c r="E26" s="10">
        <f>SUM(E5,E8,E9,E11,E12,E14,E15,E16,E17,E18,E26)</f>
        <v/>
      </c>
    </row>
    <row r="27">
      <c r="A27" s="9" t="inlineStr">
        <is>
          <t>TOTAL (with Delta Pro)</t>
        </is>
      </c>
      <c r="E27" s="10">
        <f>SUM(E5,E8,E9,E11,E12,E14,E15,E16,E17,E18,E20,E26)</f>
        <v/>
      </c>
    </row>
  </sheetData>
  <mergeCells count="9">
    <mergeCell ref="A1:G1"/>
    <mergeCell ref="A9:G9"/>
    <mergeCell ref="A18:G18"/>
    <mergeCell ref="A6:G6"/>
    <mergeCell ref="A12:G12"/>
    <mergeCell ref="A4:G4"/>
    <mergeCell ref="A20:G20"/>
    <mergeCell ref="A2:G2"/>
    <mergeCell ref="A23:G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18" customHeight="1">
      <c r="A1" s="11" t="inlineStr">
        <is>
          <t>Hood River Garage Solar — Key Decisions &amp; Notes</t>
        </is>
      </c>
    </row>
    <row r="2" ht="18" customHeight="1">
      <c r="A2" s="12" t="inlineStr"/>
    </row>
    <row r="3" ht="18" customHeight="1">
      <c r="A3" s="13" t="inlineStr">
        <is>
          <t>MICROINVERTER SELECTION</t>
        </is>
      </c>
    </row>
    <row r="4" ht="18" customHeight="1">
      <c r="A4" s="12" t="inlineStr">
        <is>
          <t>HMS-800-2T-NA (V1): 120V, 2-panel, ~$220. Output plugs into standard outlet. Works with Delta Pro as grid reference.</t>
        </is>
      </c>
    </row>
    <row r="5" ht="18" customHeight="1">
      <c r="A5" s="12" t="inlineStr">
        <is>
          <t>HMS-2000-4T-NA (V2): 240V split-phase, 4-panel, ~$320. Connects to existing 240V garage outlet. UL1741-SB certified.</t>
        </is>
      </c>
    </row>
    <row r="6" ht="18" customHeight="1">
      <c r="A6" s="14" t="inlineStr">
        <is>
          <t>Do NOT confuse with HMT series — those are 3-phase commercial units, incompatible with residential 120/240V.</t>
        </is>
      </c>
    </row>
    <row r="7" ht="18" customHeight="1">
      <c r="A7" s="12" t="inlineStr"/>
    </row>
    <row r="8" ht="18" customHeight="1">
      <c r="A8" s="13" t="inlineStr">
        <is>
          <t>EAST/WEST SPLIT RATIONALE</t>
        </is>
      </c>
    </row>
    <row r="9" ht="18" customHeight="1">
      <c r="A9" s="12" t="inlineStr">
        <is>
          <t>2 panels east + 2 panels west = flatter, longer production curve vs. south-facing spike.</t>
        </is>
      </c>
    </row>
    <row r="10" ht="18" customHeight="1">
      <c r="A10" s="12" t="inlineStr">
        <is>
          <t>Each panel has independent MPPT — east panels don't drag down west panels when one side is shaded.</t>
        </is>
      </c>
    </row>
    <row r="11" ht="18" customHeight="1">
      <c r="A11" s="12" t="inlineStr">
        <is>
          <t>Hood River gets ~4.5 peak sun hours/day annual average. East/west will be lower but more consistent.</t>
        </is>
      </c>
    </row>
    <row r="12" ht="18" customHeight="1">
      <c r="A12" s="12" t="inlineStr"/>
    </row>
    <row r="13" ht="18" customHeight="1">
      <c r="A13" s="13" t="inlineStr">
        <is>
          <t>THE CIRCULAR LOOP CONCEPT (V1)</t>
        </is>
      </c>
    </row>
    <row r="14" ht="18" customHeight="1">
      <c r="A14" s="12" t="inlineStr">
        <is>
          <t>Normal mode: Microinverter plugged into wall (feeds grid/loads). Delta Pro plugged into wall (stays charged).</t>
        </is>
      </c>
    </row>
    <row r="15" ht="18" customHeight="1">
      <c r="A15" s="12" t="inlineStr">
        <is>
          <t>Outage mode: Disconnect from wall. Delta Pro output → 4-outlet box. Microinverter output → same box. Loads → spare outlets.</t>
        </is>
      </c>
    </row>
    <row r="16" ht="18" customHeight="1">
      <c r="A16" s="12" t="inlineStr">
        <is>
          <t>Critical constraint: Load on box must always &gt;= microinverter production or voltage rises and microinverter trips.</t>
        </is>
      </c>
    </row>
    <row r="17" ht="18" customHeight="1">
      <c r="A17" s="12" t="inlineStr">
        <is>
          <t>Voltage compatibility: HMS-800-2T-NA outputs 120V — matches Delta Pro's 120V AC output. V1 only.</t>
        </is>
      </c>
    </row>
    <row r="18" ht="18" customHeight="1">
      <c r="A18" s="12" t="inlineStr"/>
    </row>
    <row r="19" ht="18" customHeight="1">
      <c r="A19" s="13" t="inlineStr">
        <is>
          <t>PACIFIC POWER / PERMITTING</t>
        </is>
      </c>
    </row>
    <row r="20" ht="18" customHeight="1">
      <c r="A20" s="12" t="inlineStr">
        <is>
          <t>Net metering: 1:1 retail credit. Submit interconnection application before Feb 1 2027 to lock in current terms.</t>
        </is>
      </c>
    </row>
    <row r="21" ht="18" customHeight="1">
      <c r="A21" s="12" t="inlineStr">
        <is>
          <t>Energy Trust of Oregon incentive: $2,500 off qualifying system for Pacific Power customers.</t>
        </is>
      </c>
    </row>
    <row r="22" ht="18" customHeight="1">
      <c r="A22" s="12" t="inlineStr">
        <is>
          <t>Permit: Likely required for V2 permanent install. Verify with Hood River County building department.</t>
        </is>
      </c>
    </row>
    <row r="23" ht="18" customHeight="1">
      <c r="A23" s="12" t="inlineStr">
        <is>
          <t>No permit needed for V1 demo (portable, no permanent wiring).</t>
        </is>
      </c>
    </row>
    <row r="24" ht="18" customHeight="1">
      <c r="A24" s="12" t="inlineStr"/>
    </row>
    <row r="25" ht="18" customHeight="1">
      <c r="A25" s="13" t="inlineStr">
        <is>
          <t>THINGS TO VERIFY BEFORE ORDERING</t>
        </is>
      </c>
    </row>
    <row r="26" ht="18" customHeight="1">
      <c r="A26" s="12" t="inlineStr">
        <is>
          <t>1. Confirm existing 240V outlet type in garage (NEMA 14-30? 6-30? 14-50?)</t>
        </is>
      </c>
    </row>
    <row r="27" ht="18" customHeight="1">
      <c r="A27" s="12" t="inlineStr">
        <is>
          <t>2. Confirm garage roof rafter spacing and direction for mount planning</t>
        </is>
      </c>
    </row>
    <row r="28" ht="18" customHeight="1">
      <c r="A28" s="12" t="inlineStr">
        <is>
          <t>3. Confirm HMS-2000-4T-NA AC connector type matches outlet/whip you order</t>
        </is>
      </c>
    </row>
    <row r="29" ht="18" customHeight="1">
      <c r="A29" s="12" t="inlineStr">
        <is>
          <t>4. Check if Pacific Power interconnection desired before V2 install</t>
        </is>
      </c>
    </row>
    <row r="30" ht="18" customHeight="1">
      <c r="A30" s="12" t="inlineStr">
        <is>
          <t>5. Verify Hood River County permit requirements</t>
        </is>
      </c>
    </row>
  </sheetData>
  <mergeCells count="30">
    <mergeCell ref="A30:E30"/>
    <mergeCell ref="A24:E24"/>
    <mergeCell ref="A15:E15"/>
    <mergeCell ref="A11:E11"/>
    <mergeCell ref="A1:E1"/>
    <mergeCell ref="A6:E6"/>
    <mergeCell ref="A16:E16"/>
    <mergeCell ref="A7:E7"/>
    <mergeCell ref="A25:E25"/>
    <mergeCell ref="A18:E18"/>
    <mergeCell ref="A27:E27"/>
    <mergeCell ref="A3:E3"/>
    <mergeCell ref="A21:E21"/>
    <mergeCell ref="A12:E12"/>
    <mergeCell ref="A26:E26"/>
    <mergeCell ref="A2:E2"/>
    <mergeCell ref="A5:E5"/>
    <mergeCell ref="A23:E23"/>
    <mergeCell ref="A14:E14"/>
    <mergeCell ref="A8:E8"/>
    <mergeCell ref="A22:E22"/>
    <mergeCell ref="A17:E17"/>
    <mergeCell ref="A29:E29"/>
    <mergeCell ref="A4:E4"/>
    <mergeCell ref="A20:E20"/>
    <mergeCell ref="A10:E10"/>
    <mergeCell ref="A28:E28"/>
    <mergeCell ref="A19:E19"/>
    <mergeCell ref="A13:E13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2026-03-26T02:08:49Z</dcterms:created>
  <dcterms:modified xmlns:dcterms="http://purl.org/dc/terms/" xmlns:xsi="http://www.w3.org/2001/XMLSchema-instance" xsi:type="dcterms:W3CDTF">2026-03-26T02:08:49Z</dcterms:modified>
</cp:coreProperties>
</file>